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B4CB85DC-FA8C-4EF5-9BA1-1E2BBB8AB45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analisi" sheetId="2" r:id="rId2"/>
    <sheet name="grafic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A10" i="2"/>
  <c r="C2" i="2"/>
  <c r="B2" i="2"/>
  <c r="C6" i="2"/>
  <c r="C5" i="2"/>
  <c r="C4" i="2"/>
  <c r="C3" i="2"/>
  <c r="B6" i="2"/>
  <c r="B5" i="2"/>
  <c r="B4" i="2"/>
  <c r="B3" i="2"/>
</calcChain>
</file>

<file path=xl/sharedStrings.xml><?xml version="1.0" encoding="utf-8"?>
<sst xmlns="http://schemas.openxmlformats.org/spreadsheetml/2006/main" count="67" uniqueCount="38">
  <si>
    <t>date</t>
  </si>
  <si>
    <t>H</t>
  </si>
  <si>
    <t>D</t>
  </si>
  <si>
    <t>N</t>
  </si>
  <si>
    <t>Pesci_Index</t>
  </si>
  <si>
    <t>2022-02-03</t>
  </si>
  <si>
    <t>2022-03-10</t>
  </si>
  <si>
    <t>2022-04-14</t>
  </si>
  <si>
    <t>2022-06-9</t>
  </si>
  <si>
    <t>2022-07-21</t>
  </si>
  <si>
    <t>2022-09-8</t>
  </si>
  <si>
    <t>2022-10-27</t>
  </si>
  <si>
    <t>2022-12-15</t>
  </si>
  <si>
    <t>2023-02-2</t>
  </si>
  <si>
    <t>2023-03-16</t>
  </si>
  <si>
    <t>2023-05-4</t>
  </si>
  <si>
    <t>2023-06-15</t>
  </si>
  <si>
    <t>2023-07-27</t>
  </si>
  <si>
    <t>2023-09-14</t>
  </si>
  <si>
    <t>2023-10-26</t>
  </si>
  <si>
    <t>2023-12-14</t>
  </si>
  <si>
    <t>2024-01-25</t>
  </si>
  <si>
    <t>2024-03-07</t>
  </si>
  <si>
    <t>2024-04-11</t>
  </si>
  <si>
    <t>2024-06-6</t>
  </si>
  <si>
    <t>2024-07-18</t>
  </si>
  <si>
    <t>2024-09-12</t>
  </si>
  <si>
    <t>2024-10-17</t>
  </si>
  <si>
    <t>2024-12-12</t>
  </si>
  <si>
    <t>AI_Index</t>
  </si>
  <si>
    <t>statistica</t>
  </si>
  <si>
    <t>Media</t>
  </si>
  <si>
    <t>Minimo</t>
  </si>
  <si>
    <t>Deviazione Standard</t>
  </si>
  <si>
    <t>Massimo</t>
  </si>
  <si>
    <t>N. osservazioni</t>
  </si>
  <si>
    <t>Correlazione</t>
  </si>
  <si>
    <t>Differenza(AI-Pesci)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</si>
</sst>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Comparazione</a:t>
            </a:r>
            <a:r>
              <a:rPr lang="it-IT" baseline="0"/>
              <a:t> tra Pesci_Index e AI_Index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6581146106736669E-2"/>
          <c:y val="0.15782407407407409"/>
          <c:w val="0.88897440944881889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grafici!$B$1</c:f>
              <c:strCache>
                <c:ptCount val="1"/>
                <c:pt idx="0">
                  <c:v>Pesci_Index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grafici!$A$2:$A$25</c:f>
              <c:strCache>
                <c:ptCount val="24"/>
                <c:pt idx="0">
                  <c:v>2022-02-03</c:v>
                </c:pt>
                <c:pt idx="1">
                  <c:v>2022-03-10</c:v>
                </c:pt>
                <c:pt idx="2">
                  <c:v>2022-04-14</c:v>
                </c:pt>
                <c:pt idx="3">
                  <c:v>2022-06-9</c:v>
                </c:pt>
                <c:pt idx="4">
                  <c:v>2022-07-21</c:v>
                </c:pt>
                <c:pt idx="5">
                  <c:v>2022-09-8</c:v>
                </c:pt>
                <c:pt idx="6">
                  <c:v>2022-10-27</c:v>
                </c:pt>
                <c:pt idx="7">
                  <c:v>2022-12-15</c:v>
                </c:pt>
                <c:pt idx="8">
                  <c:v>2023-02-2</c:v>
                </c:pt>
                <c:pt idx="9">
                  <c:v>2023-03-16</c:v>
                </c:pt>
                <c:pt idx="10">
                  <c:v>2023-05-4</c:v>
                </c:pt>
                <c:pt idx="11">
                  <c:v>2023-06-15</c:v>
                </c:pt>
                <c:pt idx="12">
                  <c:v>2023-07-27</c:v>
                </c:pt>
                <c:pt idx="13">
                  <c:v>2023-09-14</c:v>
                </c:pt>
                <c:pt idx="14">
                  <c:v>2023-10-26</c:v>
                </c:pt>
                <c:pt idx="15">
                  <c:v>2023-12-14</c:v>
                </c:pt>
                <c:pt idx="16">
                  <c:v>2024-01-25</c:v>
                </c:pt>
                <c:pt idx="17">
                  <c:v>2024-03-07</c:v>
                </c:pt>
                <c:pt idx="18">
                  <c:v>2024-04-11</c:v>
                </c:pt>
                <c:pt idx="19">
                  <c:v>2024-06-6</c:v>
                </c:pt>
                <c:pt idx="20">
                  <c:v>2024-07-18</c:v>
                </c:pt>
                <c:pt idx="21">
                  <c:v>2024-09-12</c:v>
                </c:pt>
                <c:pt idx="22">
                  <c:v>2024-10-17</c:v>
                </c:pt>
                <c:pt idx="23">
                  <c:v>2024-12-12</c:v>
                </c:pt>
              </c:strCache>
            </c:strRef>
          </c:cat>
          <c:val>
            <c:numRef>
              <c:f>grafici!$B$2:$B$25</c:f>
              <c:numCache>
                <c:formatCode>General</c:formatCode>
                <c:ptCount val="24"/>
                <c:pt idx="0">
                  <c:v>-2.4390243902439029E-2</c:v>
                </c:pt>
                <c:pt idx="1">
                  <c:v>-0.02</c:v>
                </c:pt>
                <c:pt idx="2">
                  <c:v>0.1818181818181818</c:v>
                </c:pt>
                <c:pt idx="3">
                  <c:v>0.28888888888888892</c:v>
                </c:pt>
                <c:pt idx="4">
                  <c:v>0.41176470588235292</c:v>
                </c:pt>
                <c:pt idx="5">
                  <c:v>0.30232558139534882</c:v>
                </c:pt>
                <c:pt idx="6">
                  <c:v>0.1785714285714286</c:v>
                </c:pt>
                <c:pt idx="7">
                  <c:v>0.25925925925925919</c:v>
                </c:pt>
                <c:pt idx="8">
                  <c:v>0.20833333333333329</c:v>
                </c:pt>
                <c:pt idx="9">
                  <c:v>0.17948717948717949</c:v>
                </c:pt>
                <c:pt idx="10">
                  <c:v>0.2105263157894737</c:v>
                </c:pt>
                <c:pt idx="11">
                  <c:v>0.18367346938775511</c:v>
                </c:pt>
                <c:pt idx="12">
                  <c:v>5.6603773584905662E-2</c:v>
                </c:pt>
                <c:pt idx="13">
                  <c:v>0.16279069767441859</c:v>
                </c:pt>
                <c:pt idx="14">
                  <c:v>0.13043478260869559</c:v>
                </c:pt>
                <c:pt idx="15">
                  <c:v>0</c:v>
                </c:pt>
                <c:pt idx="16">
                  <c:v>-3.2258064516129031E-2</c:v>
                </c:pt>
                <c:pt idx="17">
                  <c:v>-6.6666666666666666E-2</c:v>
                </c:pt>
                <c:pt idx="18">
                  <c:v>-0.1</c:v>
                </c:pt>
                <c:pt idx="19">
                  <c:v>7.6923076923076927E-2</c:v>
                </c:pt>
                <c:pt idx="20">
                  <c:v>-2.8571428571428571E-2</c:v>
                </c:pt>
                <c:pt idx="21">
                  <c:v>0.2162162162162162</c:v>
                </c:pt>
                <c:pt idx="22">
                  <c:v>0.25</c:v>
                </c:pt>
                <c:pt idx="23">
                  <c:v>0.1020408163265306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5-4BCF-98D1-5CCC85E65C19}"/>
            </c:ext>
          </c:extLst>
        </c:ser>
        <c:ser>
          <c:idx val="1"/>
          <c:order val="1"/>
          <c:tx>
            <c:strRef>
              <c:f>grafici!$C$1</c:f>
              <c:strCache>
                <c:ptCount val="1"/>
                <c:pt idx="0">
                  <c:v>AI_Index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grafici!$A$2:$A$25</c:f>
              <c:strCache>
                <c:ptCount val="24"/>
                <c:pt idx="0">
                  <c:v>2022-02-03</c:v>
                </c:pt>
                <c:pt idx="1">
                  <c:v>2022-03-10</c:v>
                </c:pt>
                <c:pt idx="2">
                  <c:v>2022-04-14</c:v>
                </c:pt>
                <c:pt idx="3">
                  <c:v>2022-06-9</c:v>
                </c:pt>
                <c:pt idx="4">
                  <c:v>2022-07-21</c:v>
                </c:pt>
                <c:pt idx="5">
                  <c:v>2022-09-8</c:v>
                </c:pt>
                <c:pt idx="6">
                  <c:v>2022-10-27</c:v>
                </c:pt>
                <c:pt idx="7">
                  <c:v>2022-12-15</c:v>
                </c:pt>
                <c:pt idx="8">
                  <c:v>2023-02-2</c:v>
                </c:pt>
                <c:pt idx="9">
                  <c:v>2023-03-16</c:v>
                </c:pt>
                <c:pt idx="10">
                  <c:v>2023-05-4</c:v>
                </c:pt>
                <c:pt idx="11">
                  <c:v>2023-06-15</c:v>
                </c:pt>
                <c:pt idx="12">
                  <c:v>2023-07-27</c:v>
                </c:pt>
                <c:pt idx="13">
                  <c:v>2023-09-14</c:v>
                </c:pt>
                <c:pt idx="14">
                  <c:v>2023-10-26</c:v>
                </c:pt>
                <c:pt idx="15">
                  <c:v>2023-12-14</c:v>
                </c:pt>
                <c:pt idx="16">
                  <c:v>2024-01-25</c:v>
                </c:pt>
                <c:pt idx="17">
                  <c:v>2024-03-07</c:v>
                </c:pt>
                <c:pt idx="18">
                  <c:v>2024-04-11</c:v>
                </c:pt>
                <c:pt idx="19">
                  <c:v>2024-06-6</c:v>
                </c:pt>
                <c:pt idx="20">
                  <c:v>2024-07-18</c:v>
                </c:pt>
                <c:pt idx="21">
                  <c:v>2024-09-12</c:v>
                </c:pt>
                <c:pt idx="22">
                  <c:v>2024-10-17</c:v>
                </c:pt>
                <c:pt idx="23">
                  <c:v>2024-12-12</c:v>
                </c:pt>
              </c:strCache>
            </c:strRef>
          </c:cat>
          <c:val>
            <c:numRef>
              <c:f>grafici!$C$2:$C$25</c:f>
              <c:numCache>
                <c:formatCode>General</c:formatCode>
                <c:ptCount val="24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</c:v>
                </c:pt>
                <c:pt idx="10">
                  <c:v>0.8</c:v>
                </c:pt>
                <c:pt idx="11">
                  <c:v>0.8</c:v>
                </c:pt>
                <c:pt idx="12">
                  <c:v>0.7</c:v>
                </c:pt>
                <c:pt idx="13">
                  <c:v>0.6</c:v>
                </c:pt>
                <c:pt idx="14">
                  <c:v>0.5</c:v>
                </c:pt>
                <c:pt idx="15">
                  <c:v>0.4</c:v>
                </c:pt>
                <c:pt idx="16">
                  <c:v>0.3</c:v>
                </c:pt>
                <c:pt idx="17">
                  <c:v>0.2</c:v>
                </c:pt>
                <c:pt idx="18">
                  <c:v>-0.1</c:v>
                </c:pt>
                <c:pt idx="19">
                  <c:v>-0.5</c:v>
                </c:pt>
                <c:pt idx="20">
                  <c:v>-0.2</c:v>
                </c:pt>
                <c:pt idx="21">
                  <c:v>-0.4</c:v>
                </c:pt>
                <c:pt idx="22">
                  <c:v>-0.6</c:v>
                </c:pt>
                <c:pt idx="23">
                  <c:v>-0.7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5-4BCF-98D1-5CCC85E65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093599"/>
        <c:axId val="428094559"/>
      </c:lineChart>
      <c:catAx>
        <c:axId val="42809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8094559"/>
        <c:crosses val="autoZero"/>
        <c:auto val="1"/>
        <c:lblAlgn val="ctr"/>
        <c:lblOffset val="100"/>
        <c:noMultiLvlLbl val="0"/>
      </c:catAx>
      <c:valAx>
        <c:axId val="42809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809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7</xdr:row>
      <xdr:rowOff>160020</xdr:rowOff>
    </xdr:from>
    <xdr:to>
      <xdr:col>2</xdr:col>
      <xdr:colOff>701040</xdr:colOff>
      <xdr:row>11</xdr:row>
      <xdr:rowOff>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C02A8B1F-F956-F0C7-15BD-C837FB9C75D6}"/>
            </a:ext>
          </a:extLst>
        </xdr:cNvPr>
        <xdr:cNvSpPr txBox="1"/>
      </xdr:nvSpPr>
      <xdr:spPr>
        <a:xfrm>
          <a:off x="2049780" y="1440180"/>
          <a:ext cx="226314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la correlazione tra i due indici è pari a 0,420. Tale valore indica una correlazione di entità</a:t>
          </a:r>
          <a:r>
            <a:rPr lang="it-IT" sz="1100" baseline="0"/>
            <a:t> moderata.</a:t>
          </a:r>
        </a:p>
        <a:p>
          <a:endParaRPr lang="it-I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2</xdr:row>
      <xdr:rowOff>3810</xdr:rowOff>
    </xdr:from>
    <xdr:to>
      <xdr:col>14</xdr:col>
      <xdr:colOff>563880</xdr:colOff>
      <xdr:row>20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330BD0C-93B6-5940-A5E3-601EB8C6D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H24" sqref="H24"/>
    </sheetView>
  </sheetViews>
  <sheetFormatPr defaultRowHeight="14.4" x14ac:dyDescent="0.3"/>
  <cols>
    <col min="1" max="1" width="14.44140625" customWidth="1"/>
    <col min="5" max="5" width="11.5546875" customWidth="1"/>
    <col min="6" max="6" width="13.109375" customWidth="1"/>
    <col min="7" max="7" width="18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  <c r="G1" t="s">
        <v>37</v>
      </c>
    </row>
    <row r="2" spans="1:7" x14ac:dyDescent="0.3">
      <c r="A2" t="s">
        <v>5</v>
      </c>
      <c r="B2">
        <v>20</v>
      </c>
      <c r="C2">
        <v>21</v>
      </c>
      <c r="D2">
        <v>0</v>
      </c>
      <c r="E2">
        <v>-2.4390243902439029E-2</v>
      </c>
      <c r="F2">
        <v>0.4</v>
      </c>
      <c r="G2">
        <f>F2 -E2</f>
        <v>0.42439024390243907</v>
      </c>
    </row>
    <row r="3" spans="1:7" x14ac:dyDescent="0.3">
      <c r="A3" t="s">
        <v>6</v>
      </c>
      <c r="B3">
        <v>24</v>
      </c>
      <c r="C3">
        <v>25</v>
      </c>
      <c r="D3">
        <v>1</v>
      </c>
      <c r="E3">
        <v>-0.02</v>
      </c>
      <c r="F3">
        <v>0.5</v>
      </c>
      <c r="G3">
        <f t="shared" ref="G3:G25" si="0">F3 -E3</f>
        <v>0.52</v>
      </c>
    </row>
    <row r="4" spans="1:7" x14ac:dyDescent="0.3">
      <c r="A4" t="s">
        <v>7</v>
      </c>
      <c r="B4">
        <v>26</v>
      </c>
      <c r="C4">
        <v>18</v>
      </c>
      <c r="D4">
        <v>0</v>
      </c>
      <c r="E4">
        <v>0.1818181818181818</v>
      </c>
      <c r="F4">
        <v>0.6</v>
      </c>
      <c r="G4">
        <f t="shared" si="0"/>
        <v>0.41818181818181821</v>
      </c>
    </row>
    <row r="5" spans="1:7" x14ac:dyDescent="0.3">
      <c r="A5" t="s">
        <v>8</v>
      </c>
      <c r="B5">
        <v>29</v>
      </c>
      <c r="C5">
        <v>16</v>
      </c>
      <c r="D5">
        <v>0</v>
      </c>
      <c r="E5">
        <v>0.28888888888888892</v>
      </c>
      <c r="F5">
        <v>0.9</v>
      </c>
      <c r="G5">
        <f t="shared" si="0"/>
        <v>0.61111111111111116</v>
      </c>
    </row>
    <row r="6" spans="1:7" x14ac:dyDescent="0.3">
      <c r="A6" t="s">
        <v>9</v>
      </c>
      <c r="B6">
        <v>24</v>
      </c>
      <c r="C6">
        <v>10</v>
      </c>
      <c r="D6">
        <v>0</v>
      </c>
      <c r="E6">
        <v>0.41176470588235292</v>
      </c>
      <c r="F6">
        <v>1</v>
      </c>
      <c r="G6">
        <f t="shared" si="0"/>
        <v>0.58823529411764708</v>
      </c>
    </row>
    <row r="7" spans="1:7" x14ac:dyDescent="0.3">
      <c r="A7" t="s">
        <v>10</v>
      </c>
      <c r="B7">
        <v>28</v>
      </c>
      <c r="C7">
        <v>15</v>
      </c>
      <c r="D7">
        <v>0</v>
      </c>
      <c r="E7">
        <v>0.30232558139534882</v>
      </c>
      <c r="F7">
        <v>1</v>
      </c>
      <c r="G7">
        <f t="shared" si="0"/>
        <v>0.69767441860465118</v>
      </c>
    </row>
    <row r="8" spans="1:7" x14ac:dyDescent="0.3">
      <c r="A8" t="s">
        <v>11</v>
      </c>
      <c r="B8">
        <v>33</v>
      </c>
      <c r="C8">
        <v>23</v>
      </c>
      <c r="D8">
        <v>0</v>
      </c>
      <c r="E8">
        <v>0.1785714285714286</v>
      </c>
      <c r="F8">
        <v>1</v>
      </c>
      <c r="G8">
        <f t="shared" si="0"/>
        <v>0.8214285714285714</v>
      </c>
    </row>
    <row r="9" spans="1:7" x14ac:dyDescent="0.3">
      <c r="A9" t="s">
        <v>12</v>
      </c>
      <c r="B9">
        <v>34</v>
      </c>
      <c r="C9">
        <v>20</v>
      </c>
      <c r="D9">
        <v>0</v>
      </c>
      <c r="E9">
        <v>0.25925925925925919</v>
      </c>
      <c r="F9">
        <v>1</v>
      </c>
      <c r="G9">
        <f t="shared" si="0"/>
        <v>0.74074074074074081</v>
      </c>
    </row>
    <row r="10" spans="1:7" x14ac:dyDescent="0.3">
      <c r="A10" t="s">
        <v>13</v>
      </c>
      <c r="B10">
        <v>29</v>
      </c>
      <c r="C10">
        <v>19</v>
      </c>
      <c r="D10">
        <v>0</v>
      </c>
      <c r="E10">
        <v>0.20833333333333329</v>
      </c>
      <c r="F10">
        <v>1</v>
      </c>
      <c r="G10">
        <f t="shared" si="0"/>
        <v>0.79166666666666674</v>
      </c>
    </row>
    <row r="11" spans="1:7" x14ac:dyDescent="0.3">
      <c r="A11" t="s">
        <v>14</v>
      </c>
      <c r="B11">
        <v>23</v>
      </c>
      <c r="C11">
        <v>16</v>
      </c>
      <c r="D11">
        <v>0</v>
      </c>
      <c r="E11">
        <v>0.17948717948717949</v>
      </c>
      <c r="F11">
        <v>0.9</v>
      </c>
      <c r="G11">
        <f t="shared" si="0"/>
        <v>0.72051282051282051</v>
      </c>
    </row>
    <row r="12" spans="1:7" x14ac:dyDescent="0.3">
      <c r="A12" t="s">
        <v>15</v>
      </c>
      <c r="B12">
        <v>23</v>
      </c>
      <c r="C12">
        <v>15</v>
      </c>
      <c r="D12">
        <v>0</v>
      </c>
      <c r="E12">
        <v>0.2105263157894737</v>
      </c>
      <c r="F12">
        <v>0.8</v>
      </c>
      <c r="G12">
        <f t="shared" si="0"/>
        <v>0.58947368421052637</v>
      </c>
    </row>
    <row r="13" spans="1:7" x14ac:dyDescent="0.3">
      <c r="A13" t="s">
        <v>16</v>
      </c>
      <c r="B13">
        <v>29</v>
      </c>
      <c r="C13">
        <v>20</v>
      </c>
      <c r="D13">
        <v>0</v>
      </c>
      <c r="E13">
        <v>0.18367346938775511</v>
      </c>
      <c r="F13">
        <v>0.8</v>
      </c>
      <c r="G13">
        <f t="shared" si="0"/>
        <v>0.61632653061224496</v>
      </c>
    </row>
    <row r="14" spans="1:7" x14ac:dyDescent="0.3">
      <c r="A14" t="s">
        <v>17</v>
      </c>
      <c r="B14">
        <v>28</v>
      </c>
      <c r="C14">
        <v>25</v>
      </c>
      <c r="D14">
        <v>0</v>
      </c>
      <c r="E14">
        <v>5.6603773584905662E-2</v>
      </c>
      <c r="F14">
        <v>0.7</v>
      </c>
      <c r="G14">
        <f t="shared" si="0"/>
        <v>0.64339622641509431</v>
      </c>
    </row>
    <row r="15" spans="1:7" x14ac:dyDescent="0.3">
      <c r="A15" t="s">
        <v>18</v>
      </c>
      <c r="B15">
        <v>25</v>
      </c>
      <c r="C15">
        <v>18</v>
      </c>
      <c r="D15">
        <v>0</v>
      </c>
      <c r="E15">
        <v>0.16279069767441859</v>
      </c>
      <c r="F15">
        <v>0.6</v>
      </c>
      <c r="G15">
        <f t="shared" si="0"/>
        <v>0.43720930232558142</v>
      </c>
    </row>
    <row r="16" spans="1:7" x14ac:dyDescent="0.3">
      <c r="A16" t="s">
        <v>19</v>
      </c>
      <c r="B16">
        <v>26</v>
      </c>
      <c r="C16">
        <v>20</v>
      </c>
      <c r="D16">
        <v>0</v>
      </c>
      <c r="E16">
        <v>0.13043478260869559</v>
      </c>
      <c r="F16">
        <v>0.5</v>
      </c>
      <c r="G16">
        <f t="shared" si="0"/>
        <v>0.36956521739130443</v>
      </c>
    </row>
    <row r="17" spans="1:7" x14ac:dyDescent="0.3">
      <c r="A17" t="s">
        <v>20</v>
      </c>
      <c r="B17">
        <v>17</v>
      </c>
      <c r="C17">
        <v>17</v>
      </c>
      <c r="D17">
        <v>0</v>
      </c>
      <c r="E17">
        <v>0</v>
      </c>
      <c r="F17">
        <v>0.4</v>
      </c>
      <c r="G17">
        <f t="shared" si="0"/>
        <v>0.4</v>
      </c>
    </row>
    <row r="18" spans="1:7" x14ac:dyDescent="0.3">
      <c r="A18" t="s">
        <v>21</v>
      </c>
      <c r="B18">
        <v>15</v>
      </c>
      <c r="C18">
        <v>16</v>
      </c>
      <c r="D18">
        <v>0</v>
      </c>
      <c r="E18">
        <v>-3.2258064516129031E-2</v>
      </c>
      <c r="F18">
        <v>0.3</v>
      </c>
      <c r="G18">
        <f t="shared" si="0"/>
        <v>0.33225806451612905</v>
      </c>
    </row>
    <row r="19" spans="1:7" x14ac:dyDescent="0.3">
      <c r="A19" t="s">
        <v>22</v>
      </c>
      <c r="B19">
        <v>14</v>
      </c>
      <c r="C19">
        <v>16</v>
      </c>
      <c r="D19">
        <v>0</v>
      </c>
      <c r="E19">
        <v>-6.6666666666666666E-2</v>
      </c>
      <c r="F19">
        <v>0.2</v>
      </c>
      <c r="G19">
        <f t="shared" si="0"/>
        <v>0.26666666666666666</v>
      </c>
    </row>
    <row r="20" spans="1:7" x14ac:dyDescent="0.3">
      <c r="A20" t="s">
        <v>23</v>
      </c>
      <c r="B20">
        <v>18</v>
      </c>
      <c r="C20">
        <v>22</v>
      </c>
      <c r="D20">
        <v>0</v>
      </c>
      <c r="E20">
        <v>-0.1</v>
      </c>
      <c r="F20">
        <v>-0.1</v>
      </c>
      <c r="G20">
        <f t="shared" si="0"/>
        <v>0</v>
      </c>
    </row>
    <row r="21" spans="1:7" x14ac:dyDescent="0.3">
      <c r="A21" t="s">
        <v>24</v>
      </c>
      <c r="B21">
        <v>21</v>
      </c>
      <c r="C21">
        <v>18</v>
      </c>
      <c r="D21">
        <v>0</v>
      </c>
      <c r="E21">
        <v>7.6923076923076927E-2</v>
      </c>
      <c r="F21">
        <v>-0.5</v>
      </c>
      <c r="G21">
        <f t="shared" si="0"/>
        <v>-0.57692307692307687</v>
      </c>
    </row>
    <row r="22" spans="1:7" x14ac:dyDescent="0.3">
      <c r="A22" t="s">
        <v>25</v>
      </c>
      <c r="B22">
        <v>17</v>
      </c>
      <c r="C22">
        <v>18</v>
      </c>
      <c r="D22">
        <v>0</v>
      </c>
      <c r="E22">
        <v>-2.8571428571428571E-2</v>
      </c>
      <c r="F22">
        <v>-0.2</v>
      </c>
      <c r="G22">
        <f t="shared" si="0"/>
        <v>-0.17142857142857143</v>
      </c>
    </row>
    <row r="23" spans="1:7" x14ac:dyDescent="0.3">
      <c r="A23" t="s">
        <v>26</v>
      </c>
      <c r="B23">
        <v>22</v>
      </c>
      <c r="C23">
        <v>14</v>
      </c>
      <c r="D23">
        <v>1</v>
      </c>
      <c r="E23">
        <v>0.2162162162162162</v>
      </c>
      <c r="F23">
        <v>-0.4</v>
      </c>
      <c r="G23">
        <f t="shared" si="0"/>
        <v>-0.61621621621621625</v>
      </c>
    </row>
    <row r="24" spans="1:7" x14ac:dyDescent="0.3">
      <c r="A24" t="s">
        <v>27</v>
      </c>
      <c r="B24">
        <v>20</v>
      </c>
      <c r="C24">
        <v>12</v>
      </c>
      <c r="D24">
        <v>0</v>
      </c>
      <c r="E24">
        <v>0.25</v>
      </c>
      <c r="F24">
        <v>-0.6</v>
      </c>
      <c r="G24">
        <f t="shared" si="0"/>
        <v>-0.85</v>
      </c>
    </row>
    <row r="25" spans="1:7" x14ac:dyDescent="0.3">
      <c r="A25" t="s">
        <v>28</v>
      </c>
      <c r="B25">
        <v>27</v>
      </c>
      <c r="C25">
        <v>22</v>
      </c>
      <c r="D25">
        <v>0</v>
      </c>
      <c r="E25">
        <v>0.1020408163265306</v>
      </c>
      <c r="F25">
        <v>-0.7</v>
      </c>
      <c r="G25">
        <f t="shared" si="0"/>
        <v>-0.80204081632653057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F1B2-A897-458A-95F2-62028AF02799}">
  <dimension ref="A1:C10"/>
  <sheetViews>
    <sheetView workbookViewId="0">
      <selection activeCell="B21" sqref="B21"/>
    </sheetView>
  </sheetViews>
  <sheetFormatPr defaultRowHeight="14.4" x14ac:dyDescent="0.3"/>
  <cols>
    <col min="1" max="1" width="26.5546875" customWidth="1"/>
    <col min="2" max="2" width="26.109375" customWidth="1"/>
    <col min="3" max="3" width="26.77734375" customWidth="1"/>
  </cols>
  <sheetData>
    <row r="1" spans="1:3" x14ac:dyDescent="0.3">
      <c r="A1" s="1" t="s">
        <v>30</v>
      </c>
      <c r="B1" s="1" t="s">
        <v>4</v>
      </c>
      <c r="C1" s="1" t="s">
        <v>29</v>
      </c>
    </row>
    <row r="2" spans="1:3" x14ac:dyDescent="0.3">
      <c r="A2" s="1" t="s">
        <v>35</v>
      </c>
      <c r="B2" s="1">
        <f>COUNT(dataset!E2:E25)</f>
        <v>24</v>
      </c>
      <c r="C2" s="1">
        <f>COUNT(dataset!F2:F25)</f>
        <v>24</v>
      </c>
    </row>
    <row r="3" spans="1:3" x14ac:dyDescent="0.3">
      <c r="A3" t="s">
        <v>31</v>
      </c>
      <c r="B3">
        <f>AVERAGE(dataset!E2:E25)</f>
        <v>0.13032380431209928</v>
      </c>
      <c r="C3">
        <f>AVERAGE(dataset!F2:F25)</f>
        <v>0.42083333333333345</v>
      </c>
    </row>
    <row r="4" spans="1:3" x14ac:dyDescent="0.3">
      <c r="A4" t="s">
        <v>33</v>
      </c>
      <c r="B4">
        <f>_xlfn.STDEV.S(dataset!E2:E25)</f>
        <v>0.13387446131103251</v>
      </c>
      <c r="C4">
        <f>_xlfn.STDEV.S(dataset!F2:F25)</f>
        <v>0.55636957272057508</v>
      </c>
    </row>
    <row r="5" spans="1:3" x14ac:dyDescent="0.3">
      <c r="A5" t="s">
        <v>32</v>
      </c>
      <c r="B5">
        <f>MIN(dataset!E2:E25)</f>
        <v>-0.1</v>
      </c>
      <c r="C5">
        <f>MIN(dataset!F2:F25)</f>
        <v>-0.7</v>
      </c>
    </row>
    <row r="6" spans="1:3" x14ac:dyDescent="0.3">
      <c r="A6" t="s">
        <v>34</v>
      </c>
      <c r="B6">
        <f>MAX(dataset!E2:E25)</f>
        <v>0.41176470588235292</v>
      </c>
      <c r="C6">
        <f>MAX(dataset!F2:F25)</f>
        <v>1</v>
      </c>
    </row>
    <row r="9" spans="1:3" x14ac:dyDescent="0.3">
      <c r="A9" s="1" t="s">
        <v>36</v>
      </c>
    </row>
    <row r="10" spans="1:3" x14ac:dyDescent="0.3">
      <c r="A10">
        <f>CORREL(dataset!E2:E25,dataset!F2:F25)</f>
        <v>0.41973501980280364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2DD7-07F0-4FE6-BC57-66B77680E692}">
  <dimension ref="A1:C25"/>
  <sheetViews>
    <sheetView tabSelected="1" workbookViewId="0">
      <selection activeCell="Q7" sqref="Q7"/>
    </sheetView>
  </sheetViews>
  <sheetFormatPr defaultRowHeight="14.4" x14ac:dyDescent="0.3"/>
  <cols>
    <col min="1" max="1" width="14.44140625" customWidth="1"/>
    <col min="2" max="2" width="11.5546875" customWidth="1"/>
    <col min="3" max="3" width="13.109375" customWidth="1"/>
  </cols>
  <sheetData>
    <row r="1" spans="1:3" x14ac:dyDescent="0.3">
      <c r="A1" t="s">
        <v>0</v>
      </c>
      <c r="B1" t="s">
        <v>4</v>
      </c>
      <c r="C1" t="s">
        <v>29</v>
      </c>
    </row>
    <row r="2" spans="1:3" x14ac:dyDescent="0.3">
      <c r="A2" t="s">
        <v>5</v>
      </c>
      <c r="B2">
        <v>-2.4390243902439029E-2</v>
      </c>
      <c r="C2">
        <v>0.4</v>
      </c>
    </row>
    <row r="3" spans="1:3" x14ac:dyDescent="0.3">
      <c r="A3" t="s">
        <v>6</v>
      </c>
      <c r="B3">
        <v>-0.02</v>
      </c>
      <c r="C3">
        <v>0.5</v>
      </c>
    </row>
    <row r="4" spans="1:3" x14ac:dyDescent="0.3">
      <c r="A4" t="s">
        <v>7</v>
      </c>
      <c r="B4">
        <v>0.1818181818181818</v>
      </c>
      <c r="C4">
        <v>0.6</v>
      </c>
    </row>
    <row r="5" spans="1:3" x14ac:dyDescent="0.3">
      <c r="A5" t="s">
        <v>8</v>
      </c>
      <c r="B5">
        <v>0.28888888888888892</v>
      </c>
      <c r="C5">
        <v>0.9</v>
      </c>
    </row>
    <row r="6" spans="1:3" x14ac:dyDescent="0.3">
      <c r="A6" t="s">
        <v>9</v>
      </c>
      <c r="B6">
        <v>0.41176470588235292</v>
      </c>
      <c r="C6">
        <v>1</v>
      </c>
    </row>
    <row r="7" spans="1:3" x14ac:dyDescent="0.3">
      <c r="A7" t="s">
        <v>10</v>
      </c>
      <c r="B7">
        <v>0.30232558139534882</v>
      </c>
      <c r="C7">
        <v>1</v>
      </c>
    </row>
    <row r="8" spans="1:3" x14ac:dyDescent="0.3">
      <c r="A8" t="s">
        <v>11</v>
      </c>
      <c r="B8">
        <v>0.1785714285714286</v>
      </c>
      <c r="C8">
        <v>1</v>
      </c>
    </row>
    <row r="9" spans="1:3" x14ac:dyDescent="0.3">
      <c r="A9" t="s">
        <v>12</v>
      </c>
      <c r="B9">
        <v>0.25925925925925919</v>
      </c>
      <c r="C9">
        <v>1</v>
      </c>
    </row>
    <row r="10" spans="1:3" x14ac:dyDescent="0.3">
      <c r="A10" t="s">
        <v>13</v>
      </c>
      <c r="B10">
        <v>0.20833333333333329</v>
      </c>
      <c r="C10">
        <v>1</v>
      </c>
    </row>
    <row r="11" spans="1:3" x14ac:dyDescent="0.3">
      <c r="A11" t="s">
        <v>14</v>
      </c>
      <c r="B11">
        <v>0.17948717948717949</v>
      </c>
      <c r="C11">
        <v>0.9</v>
      </c>
    </row>
    <row r="12" spans="1:3" x14ac:dyDescent="0.3">
      <c r="A12" t="s">
        <v>15</v>
      </c>
      <c r="B12">
        <v>0.2105263157894737</v>
      </c>
      <c r="C12">
        <v>0.8</v>
      </c>
    </row>
    <row r="13" spans="1:3" x14ac:dyDescent="0.3">
      <c r="A13" t="s">
        <v>16</v>
      </c>
      <c r="B13">
        <v>0.18367346938775511</v>
      </c>
      <c r="C13">
        <v>0.8</v>
      </c>
    </row>
    <row r="14" spans="1:3" x14ac:dyDescent="0.3">
      <c r="A14" t="s">
        <v>17</v>
      </c>
      <c r="B14">
        <v>5.6603773584905662E-2</v>
      </c>
      <c r="C14">
        <v>0.7</v>
      </c>
    </row>
    <row r="15" spans="1:3" x14ac:dyDescent="0.3">
      <c r="A15" t="s">
        <v>18</v>
      </c>
      <c r="B15">
        <v>0.16279069767441859</v>
      </c>
      <c r="C15">
        <v>0.6</v>
      </c>
    </row>
    <row r="16" spans="1:3" x14ac:dyDescent="0.3">
      <c r="A16" t="s">
        <v>19</v>
      </c>
      <c r="B16">
        <v>0.13043478260869559</v>
      </c>
      <c r="C16">
        <v>0.5</v>
      </c>
    </row>
    <row r="17" spans="1:3" x14ac:dyDescent="0.3">
      <c r="A17" t="s">
        <v>20</v>
      </c>
      <c r="B17">
        <v>0</v>
      </c>
      <c r="C17">
        <v>0.4</v>
      </c>
    </row>
    <row r="18" spans="1:3" x14ac:dyDescent="0.3">
      <c r="A18" t="s">
        <v>21</v>
      </c>
      <c r="B18">
        <v>-3.2258064516129031E-2</v>
      </c>
      <c r="C18">
        <v>0.3</v>
      </c>
    </row>
    <row r="19" spans="1:3" x14ac:dyDescent="0.3">
      <c r="A19" t="s">
        <v>22</v>
      </c>
      <c r="B19">
        <v>-6.6666666666666666E-2</v>
      </c>
      <c r="C19">
        <v>0.2</v>
      </c>
    </row>
    <row r="20" spans="1:3" x14ac:dyDescent="0.3">
      <c r="A20" t="s">
        <v>23</v>
      </c>
      <c r="B20">
        <v>-0.1</v>
      </c>
      <c r="C20">
        <v>-0.1</v>
      </c>
    </row>
    <row r="21" spans="1:3" x14ac:dyDescent="0.3">
      <c r="A21" t="s">
        <v>24</v>
      </c>
      <c r="B21">
        <v>7.6923076923076927E-2</v>
      </c>
      <c r="C21">
        <v>-0.5</v>
      </c>
    </row>
    <row r="22" spans="1:3" x14ac:dyDescent="0.3">
      <c r="A22" t="s">
        <v>25</v>
      </c>
      <c r="B22">
        <v>-2.8571428571428571E-2</v>
      </c>
      <c r="C22">
        <v>-0.2</v>
      </c>
    </row>
    <row r="23" spans="1:3" x14ac:dyDescent="0.3">
      <c r="A23" t="s">
        <v>26</v>
      </c>
      <c r="B23">
        <v>0.2162162162162162</v>
      </c>
      <c r="C23">
        <v>-0.4</v>
      </c>
    </row>
    <row r="24" spans="1:3" x14ac:dyDescent="0.3">
      <c r="A24" t="s">
        <v>27</v>
      </c>
      <c r="B24">
        <v>0.25</v>
      </c>
      <c r="C24">
        <v>-0.6</v>
      </c>
    </row>
    <row r="25" spans="1:3" x14ac:dyDescent="0.3">
      <c r="A25" t="s">
        <v>28</v>
      </c>
      <c r="B25">
        <v>0.1020408163265306</v>
      </c>
      <c r="C25">
        <v>-0.7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dataset</vt:lpstr>
      <vt:lpstr>analisi</vt:lpstr>
      <vt:lpstr>grafici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Nancy LISANTI</cp:lastModifiedBy>
  <dcterms:created xsi:type="dcterms:W3CDTF">2026-06-29T11:11:43Z</dcterms:created>
  <dcterms:modified xsi:type="dcterms:W3CDTF">2026-06-29T17:04:55Z</dcterms:modified>
</cp:coreProperties>
</file>